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Classes" sheetId="3" state="visible" r:id="rId3"/>
    <sheet xmlns:r="http://schemas.openxmlformats.org/officeDocument/2006/relationships" name="Files" sheetId="4" state="visible" r:id="rId4"/>
    <sheet xmlns:r="http://schemas.openxmlformats.org/officeDocument/2006/relationships" name="Parameters" sheetId="5" state="visible" r:id="rId5"/>
    <sheet xmlns:r="http://schemas.openxmlformats.org/officeDocument/2006/relationships" name="Maps" sheetId="6" state="visible" r:id="rId6"/>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8">
    <font>
      <name val="Calibri"/>
      <family val="2"/>
      <color theme="1"/>
      <sz val="11"/>
      <scheme val="minor"/>
    </font>
    <font>
      <name val="Arial"/>
      <b val="1"/>
      <color rgb="FF1B4965"/>
      <sz val="18"/>
    </font>
    <font>
      <name val="Arial"/>
      <color rgb="FF52606D"/>
      <sz val="9"/>
    </font>
    <font>
      <name val="Arial"/>
      <b val="1"/>
      <color rgb="FF1B4965"/>
      <sz val="15"/>
    </font>
    <font>
      <name val="Arial"/>
      <b val="1"/>
      <color rgb="FF1B4965"/>
      <sz val="12"/>
    </font>
    <font>
      <name val="Arial"/>
      <color rgb="FF1F2933"/>
      <sz val="10"/>
    </font>
    <font>
      <name val="Arial"/>
      <b val="1"/>
      <color rgb="FFFFFFFF"/>
      <sz val="10"/>
    </font>
    <font>
      <name val="Arial"/>
      <b val="1"/>
      <color rgb="FF1F2933"/>
      <sz val="10"/>
    </font>
  </fonts>
  <fills count="8">
    <fill>
      <patternFill/>
    </fill>
    <fill>
      <patternFill patternType="gray125"/>
    </fill>
    <fill>
      <patternFill patternType="solid">
        <fgColor rgb="FFE3EDF4"/>
      </patternFill>
    </fill>
    <fill>
      <patternFill patternType="solid">
        <fgColor rgb="FF1B4965"/>
      </patternFill>
    </fill>
    <fill>
      <patternFill patternType="solid">
        <fgColor rgb="FFD9DEE3"/>
      </patternFill>
    </fill>
    <fill>
      <patternFill patternType="solid">
        <fgColor rgb="FF8D99A6"/>
      </patternFill>
    </fill>
    <fill>
      <patternFill patternType="solid">
        <fgColor rgb="FFD7301F"/>
      </patternFill>
    </fill>
    <fill>
      <patternFill patternType="solid">
        <fgColor rgb="FF2B83BA"/>
      </patternFill>
    </fill>
  </fills>
  <borders count="3">
    <border>
      <left/>
      <right/>
      <top/>
      <bottom/>
      <diagonal/>
    </border>
    <border>
      <bottom style="thin">
        <color rgb="FFD5DBE1"/>
      </bottom>
    </border>
    <border>
      <left/>
      <right/>
      <top/>
      <bottom style="thin">
        <color rgb="FFD5DBE1"/>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2"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2" fillId="0" borderId="1" pivotButton="0" quotePrefix="0" xfId="0"/>
    <xf numFmtId="0" fontId="0" fillId="0" borderId="2" pivotButton="0" quotePrefix="0" xfId="0"/>
    <xf numFmtId="0" fontId="5" fillId="0" borderId="1" pivotButton="0" quotePrefix="0" xfId="0"/>
    <xf numFmtId="0" fontId="6" fillId="3" borderId="0" applyAlignment="1" pivotButton="0" quotePrefix="0" xfId="0">
      <alignment horizontal="left"/>
    </xf>
    <xf numFmtId="0" fontId="6" fillId="3" borderId="0" applyAlignment="1" pivotButton="0" quotePrefix="0" xfId="0">
      <alignment horizontal="right"/>
    </xf>
    <xf numFmtId="0" fontId="5" fillId="0" borderId="1" applyAlignment="1" pivotButton="0" quotePrefix="0" xfId="0">
      <alignment vertical="top" wrapText="1"/>
    </xf>
    <xf numFmtId="166" fontId="5" fillId="0" borderId="1" applyAlignment="1" pivotButton="0" quotePrefix="0" xfId="0">
      <alignment horizontal="right"/>
    </xf>
    <xf numFmtId="0" fontId="2" fillId="0" borderId="1" applyAlignment="1" pivotButton="0" quotePrefix="0" xfId="0">
      <alignment vertical="top" wrapText="1"/>
    </xf>
    <xf numFmtId="165" fontId="5" fillId="0" borderId="1" applyAlignment="1" pivotButton="0" quotePrefix="0" xfId="0">
      <alignment horizontal="right"/>
    </xf>
    <xf numFmtId="3" fontId="5" fillId="0" borderId="1" applyAlignment="1" pivotButton="0" quotePrefix="0" xfId="0">
      <alignment horizontal="right"/>
    </xf>
    <xf numFmtId="167" fontId="5" fillId="0" borderId="1" applyAlignment="1" pivotButton="0" quotePrefix="0" xfId="0">
      <alignment horizontal="right"/>
    </xf>
    <xf numFmtId="0" fontId="5" fillId="0" borderId="1" applyAlignment="1" pivotButton="0" quotePrefix="0" xfId="0">
      <alignment horizontal="right"/>
    </xf>
    <xf numFmtId="0" fontId="5" fillId="3" borderId="0" pivotButton="0" quotePrefix="0" xfId="0"/>
    <xf numFmtId="0" fontId="6" fillId="3" borderId="0" applyAlignment="1" pivotButton="0" quotePrefix="0" xfId="0">
      <alignment horizontal="left" vertical="center" wrapText="1"/>
    </xf>
    <xf numFmtId="0" fontId="6" fillId="3" borderId="0" applyAlignment="1" pivotButton="0" quotePrefix="0" xfId="0">
      <alignment horizontal="right" vertical="center" wrapText="1"/>
    </xf>
    <xf numFmtId="0" fontId="5" fillId="4" borderId="1" pivotButton="0" quotePrefix="0" xfId="0"/>
    <xf numFmtId="0" fontId="5" fillId="0" borderId="1" applyAlignment="1" pivotButton="0" quotePrefix="0" xfId="0">
      <alignment horizontal="left" vertical="top" wrapText="1"/>
    </xf>
    <xf numFmtId="3" fontId="5" fillId="0" borderId="1" applyAlignment="1" pivotButton="0" quotePrefix="0" xfId="0">
      <alignment horizontal="right" vertical="top" wrapText="1"/>
    </xf>
    <xf numFmtId="164" fontId="5" fillId="0" borderId="1" applyAlignment="1" pivotButton="0" quotePrefix="0" xfId="0">
      <alignment horizontal="right" vertical="top" wrapText="1"/>
    </xf>
    <xf numFmtId="165" fontId="5" fillId="0" borderId="1" applyAlignment="1" pivotButton="0" quotePrefix="0" xfId="0">
      <alignment horizontal="right" vertical="top" wrapText="1"/>
    </xf>
    <xf numFmtId="0" fontId="5" fillId="5" borderId="1" pivotButton="0" quotePrefix="0" xfId="0"/>
    <xf numFmtId="0" fontId="5" fillId="6" borderId="1" pivotButton="0" quotePrefix="0" xfId="0"/>
    <xf numFmtId="0" fontId="5" fillId="7" borderId="1" pivotButton="0" quotePrefix="0" xfId="0"/>
    <xf numFmtId="0" fontId="7" fillId="0" borderId="0" pivotButton="0" quotePrefix="0" xfId="0"/>
    <xf numFmtId="3" fontId="7" fillId="0" borderId="0" pivotButton="0" quotePrefix="0" xfId="0"/>
    <xf numFmtId="164" fontId="7" fillId="0" borderId="0" pivotButton="0" quotePrefix="0" xfId="0"/>
    <xf numFmtId="165"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Class areas: Built-up area change</a:t>
            </a:r>
          </a:p>
        </rich>
      </tx>
    </title>
    <plotArea>
      <barChart>
        <barDir val="bar"/>
        <grouping val="clustered"/>
        <ser>
          <idx val="0"/>
          <order val="0"/>
          <tx>
            <strRef>
              <f>'Classes'!E2</f>
            </strRef>
          </tx>
          <spPr>
            <a:ln xmlns:a="http://schemas.openxmlformats.org/drawingml/2006/main">
              <a:prstDash val="solid"/>
            </a:ln>
          </spPr>
          <cat>
            <numRef>
              <f>'Classes'!$B$3:$B$6</f>
            </numRef>
          </cat>
          <val>
            <numRef>
              <f>'Classes'!$E$3:$E$6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Area (ha)</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drawing1.xml><?xml version="1.0" encoding="utf-8"?>
<wsDr xmlns="http://schemas.openxmlformats.org/drawingml/2006/spreadsheetDrawing">
  <oneCellAnchor>
    <from>
      <col>0</col>
      <colOff>0</colOff>
      <row>21</row>
      <rowOff>0</rowOff>
    </from>
    <ext cx="8382000" cy="5638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8</col>
      <colOff>0</colOff>
      <row>0</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1</row>
      <rowOff>0</rowOff>
    </from>
    <ext cx="8572500" cy="5762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35</row>
      <rowOff>0</rowOff>
    </from>
    <ext cx="8572500" cy="3943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H21"/>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28" customHeight="1">
      <c r="A1" s="1" t="inlineStr">
        <is>
          <t>Urban Expansion (annual 10 m land cover)</t>
        </is>
      </c>
    </row>
    <row r="2">
      <c r="A2" s="2" t="inlineStr">
        <is>
          <t>2020 to 2023 · 2.8 km²</t>
        </is>
      </c>
    </row>
    <row r="4" ht="26" customHeight="1">
      <c r="A4" s="3" t="inlineStr">
        <is>
          <t>172.1 ha</t>
        </is>
      </c>
      <c r="C4" s="3" t="inlineStr">
        <is>
          <t>177.7 ha</t>
        </is>
      </c>
      <c r="E4" s="3" t="inlineStr">
        <is>
          <t>16.8 ha</t>
        </is>
      </c>
      <c r="G4" s="3" t="inlineStr">
        <is>
          <t>11.2 ha</t>
        </is>
      </c>
    </row>
    <row r="5" ht="30" customHeight="1">
      <c r="A5" s="4" t="inlineStr">
        <is>
          <t>Built area, first year</t>
        </is>
      </c>
      <c r="C5" s="4" t="inlineStr">
        <is>
          <t>Built area, second year</t>
        </is>
      </c>
      <c r="E5" s="4" t="inlineStr">
        <is>
          <t>Gross gain</t>
        </is>
      </c>
      <c r="G5" s="4" t="inlineStr">
        <is>
          <t>Gross loss</t>
        </is>
      </c>
    </row>
    <row r="7">
      <c r="A7" s="5" t="inlineStr">
        <is>
          <t>Executive summary</t>
        </is>
      </c>
    </row>
    <row r="8" ht="30" customHeight="1">
      <c r="A8" s="6" t="inlineStr">
        <is>
          <t>• Built-up area went from 172.1 ha in 2020 to 177.7 ha in 2023: gross gain 16.8 ha, gross loss 11.2 ha, net 5.6 ha.</t>
        </is>
      </c>
    </row>
    <row r="9" ht="16" customHeight="1">
      <c r="A9" s="6" t="inlineStr">
        <is>
          <t>• Compound annual growth of the built-up area: 1.1 % per year.</t>
        </is>
      </c>
    </row>
    <row r="10" ht="45" customHeight="1">
      <c r="A10" s="6" t="inlineStr">
        <is>
          <t>Impact Observatory / Esri 10 m Annual Land Use Land Cover (v02, Sentinel-2 based, CC BY 4.0). Each year is classified independently, so a year-to-year difference contains classifier disagreement as well as real change; single-pixel flips are expected.</t>
        </is>
      </c>
    </row>
    <row r="12">
      <c r="A12" s="5" t="inlineStr">
        <is>
          <t>Study area</t>
        </is>
      </c>
    </row>
    <row r="13">
      <c r="A13" s="7" t="inlineStr">
        <is>
          <t>Area of interest (west, south, east, north)</t>
        </is>
      </c>
      <c r="B13" s="8" t="n"/>
      <c r="C13" s="8" t="n"/>
      <c r="D13" s="9" t="inlineStr">
        <is>
          <t>-80.6250, -5.1800, -80.6100, -5.1650</t>
        </is>
      </c>
      <c r="E13" s="8" t="n"/>
      <c r="F13" s="8" t="n"/>
      <c r="G13" s="8" t="n"/>
      <c r="H13" s="8" t="n"/>
    </row>
    <row r="14">
      <c r="A14" s="7" t="inlineStr">
        <is>
          <t>Centre</t>
        </is>
      </c>
      <c r="B14" s="8" t="n"/>
      <c r="C14" s="8" t="n"/>
      <c r="D14" s="9" t="inlineStr">
        <is>
          <t>-5.1725°, -80.6175°</t>
        </is>
      </c>
      <c r="E14" s="8" t="n"/>
      <c r="F14" s="8" t="n"/>
      <c r="G14" s="8" t="n"/>
      <c r="H14" s="8" t="n"/>
    </row>
    <row r="15">
      <c r="A15" s="7" t="inlineStr">
        <is>
          <t>Area of interest</t>
        </is>
      </c>
      <c r="B15" s="8" t="n"/>
      <c r="C15" s="8" t="n"/>
      <c r="D15" s="9" t="inlineStr">
        <is>
          <t>2.76 km²</t>
        </is>
      </c>
      <c r="E15" s="8" t="n"/>
      <c r="F15" s="8" t="n"/>
      <c r="G15" s="8" t="n"/>
      <c r="H15" s="8" t="n"/>
    </row>
    <row r="16">
      <c r="A16" s="7" t="inlineStr">
        <is>
          <t>Period</t>
        </is>
      </c>
      <c r="B16" s="8" t="n"/>
      <c r="C16" s="8" t="n"/>
      <c r="D16" s="9" t="inlineStr">
        <is>
          <t>2020 to 2023</t>
        </is>
      </c>
      <c r="E16" s="8" t="n"/>
      <c r="F16" s="8" t="n"/>
      <c r="G16" s="8" t="n"/>
      <c r="H16" s="8" t="n"/>
    </row>
    <row r="17">
      <c r="A17" s="7" t="inlineStr">
        <is>
          <t>Output grid</t>
        </is>
      </c>
      <c r="B17" s="8" t="n"/>
      <c r="C17" s="8" t="n"/>
      <c r="D17" s="9" t="inlineStr">
        <is>
          <t>168 × 167 pixels, EPSG:32717</t>
        </is>
      </c>
      <c r="E17" s="8" t="n"/>
      <c r="F17" s="8" t="n"/>
      <c r="G17" s="8" t="n"/>
      <c r="H17" s="8" t="n"/>
    </row>
    <row r="18">
      <c r="A18" s="7" t="inlineStr">
        <is>
          <t>Raster extent area</t>
        </is>
      </c>
      <c r="B18" s="8" t="n"/>
      <c r="C18" s="8" t="n"/>
      <c r="D18" s="9" t="inlineStr">
        <is>
          <t>2.81 km²</t>
        </is>
      </c>
      <c r="E18" s="8" t="n"/>
      <c r="F18" s="8" t="n"/>
      <c r="G18" s="8" t="n"/>
      <c r="H18" s="8" t="n"/>
    </row>
    <row r="19">
      <c r="A19" s="7" t="inlineStr">
        <is>
          <t>Valid (cloud-free) share</t>
        </is>
      </c>
      <c r="B19" s="8" t="n"/>
      <c r="C19" s="8" t="n"/>
      <c r="D19" s="9" t="inlineStr">
        <is>
          <t>100.0 %</t>
        </is>
      </c>
      <c r="E19" s="8" t="n"/>
      <c r="F19" s="8" t="n"/>
      <c r="G19" s="8" t="n"/>
      <c r="H19" s="8" t="n"/>
    </row>
    <row r="21">
      <c r="A21" s="5" t="inlineStr">
        <is>
          <t>Map</t>
        </is>
      </c>
    </row>
  </sheetData>
  <mergeCells count="25">
    <mergeCell ref="A9:H9"/>
    <mergeCell ref="C5:D5"/>
    <mergeCell ref="D19:H19"/>
    <mergeCell ref="E5:F5"/>
    <mergeCell ref="A18:C18"/>
    <mergeCell ref="C4:D4"/>
    <mergeCell ref="E4:F4"/>
    <mergeCell ref="A14:C14"/>
    <mergeCell ref="D13:H13"/>
    <mergeCell ref="A17:C17"/>
    <mergeCell ref="D17:H17"/>
    <mergeCell ref="A13:C13"/>
    <mergeCell ref="A19:C19"/>
    <mergeCell ref="D16:H16"/>
    <mergeCell ref="A5:B5"/>
    <mergeCell ref="G5:H5"/>
    <mergeCell ref="A15:C15"/>
    <mergeCell ref="A8:H8"/>
    <mergeCell ref="D18:H18"/>
    <mergeCell ref="A4:B4"/>
    <mergeCell ref="G4:H4"/>
    <mergeCell ref="D15:H15"/>
    <mergeCell ref="A10:H10"/>
    <mergeCell ref="D14:H14"/>
    <mergeCell ref="A16:C16"/>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19"/>
  <sheetViews>
    <sheetView showGridLines="0" workbookViewId="0">
      <selection activeCell="A1" sqref="A1"/>
    </sheetView>
  </sheetViews>
  <sheetFormatPr baseColWidth="8" defaultRowHeight="15"/>
  <cols>
    <col width="42" customWidth="1" min="1" max="1"/>
    <col width="18" customWidth="1" min="2" max="2"/>
    <col width="52" customWidth="1" min="3" max="3"/>
  </cols>
  <sheetData>
    <row r="1">
      <c r="A1" s="5" t="inlineStr">
        <is>
          <t>Key statistics (reported by the pipeline)</t>
        </is>
      </c>
    </row>
    <row r="2">
      <c r="A2" s="10" t="inlineStr">
        <is>
          <t>Measure</t>
        </is>
      </c>
      <c r="B2" s="11" t="inlineStr">
        <is>
          <t>Value</t>
        </is>
      </c>
      <c r="C2" s="10" t="inlineStr">
        <is>
          <t>Note</t>
        </is>
      </c>
    </row>
    <row r="3">
      <c r="A3" s="12" t="inlineStr">
        <is>
          <t>Built area, first year</t>
        </is>
      </c>
      <c r="B3" s="13" t="n">
        <v>172.06</v>
      </c>
      <c r="C3" s="14" t="inlineStr"/>
    </row>
    <row r="4">
      <c r="A4" s="12" t="inlineStr">
        <is>
          <t>Built area, second year</t>
        </is>
      </c>
      <c r="B4" s="13" t="n">
        <v>177.66</v>
      </c>
      <c r="C4" s="14" t="inlineStr"/>
    </row>
    <row r="5">
      <c r="A5" s="12" t="inlineStr">
        <is>
          <t>Gross gain</t>
        </is>
      </c>
      <c r="B5" s="13" t="n">
        <v>16.77</v>
      </c>
      <c r="C5" s="14" t="inlineStr"/>
    </row>
    <row r="6">
      <c r="A6" s="12" t="inlineStr">
        <is>
          <t>Gross loss</t>
        </is>
      </c>
      <c r="B6" s="13" t="n">
        <v>11.17</v>
      </c>
      <c r="C6" s="14" t="inlineStr"/>
    </row>
    <row r="7">
      <c r="A7" s="12" t="inlineStr">
        <is>
          <t>Net change</t>
        </is>
      </c>
      <c r="B7" s="13" t="n">
        <v>5.599999999999994</v>
      </c>
      <c r="C7" s="14" t="inlineStr"/>
    </row>
    <row r="8">
      <c r="A8" s="12" t="inlineStr">
        <is>
          <t>Built share, first year</t>
        </is>
      </c>
      <c r="B8" s="15" t="n">
        <v>0.6132734530938124</v>
      </c>
      <c r="C8" s="14" t="inlineStr"/>
    </row>
    <row r="9">
      <c r="A9" s="12" t="inlineStr">
        <is>
          <t>Built share, second year</t>
        </is>
      </c>
      <c r="B9" s="15" t="n">
        <v>0.6332335329341318</v>
      </c>
      <c r="C9" s="14" t="inlineStr"/>
    </row>
    <row r="10">
      <c r="A10" s="12" t="inlineStr">
        <is>
          <t>Compound annual growth of built area</t>
        </is>
      </c>
      <c r="B10" s="15" t="n">
        <v>0.01073331249762144</v>
      </c>
      <c r="C10" s="14" t="inlineStr"/>
    </row>
    <row r="11">
      <c r="A11" s="12" t="inlineStr">
        <is>
          <t>Valid share of the area</t>
        </is>
      </c>
      <c r="B11" s="15" t="n">
        <v>1</v>
      </c>
      <c r="C11" s="14" t="inlineStr"/>
    </row>
    <row r="14">
      <c r="A14" s="5" t="inlineStr">
        <is>
          <t>Other statistics</t>
        </is>
      </c>
    </row>
    <row r="15">
      <c r="A15" s="10" t="inlineStr">
        <is>
          <t>Measure</t>
        </is>
      </c>
      <c r="B15" s="11" t="inlineStr">
        <is>
          <t>Value</t>
        </is>
      </c>
      <c r="C15" s="10" t="inlineStr">
        <is>
          <t>Note</t>
        </is>
      </c>
    </row>
    <row r="16">
      <c r="A16" s="12" t="inlineStr">
        <is>
          <t>Year before</t>
        </is>
      </c>
      <c r="B16" s="16" t="n">
        <v>2020</v>
      </c>
      <c r="C16" s="14" t="inlineStr"/>
    </row>
    <row r="17">
      <c r="A17" s="12" t="inlineStr">
        <is>
          <t>Year after</t>
        </is>
      </c>
      <c r="B17" s="16" t="n">
        <v>2023</v>
      </c>
      <c r="C17" s="14" t="inlineStr"/>
    </row>
    <row r="18">
      <c r="A18" s="12" t="inlineStr">
        <is>
          <t>Resolution m</t>
        </is>
      </c>
      <c r="B18" s="17" t="n">
        <v>10</v>
      </c>
      <c r="C18" s="14" t="inlineStr"/>
    </row>
    <row r="19">
      <c r="A19" s="12" t="inlineStr">
        <is>
          <t>Resolution coarsened</t>
        </is>
      </c>
      <c r="B19" s="18" t="inlineStr">
        <is>
          <t>no</t>
        </is>
      </c>
      <c r="C19" s="14"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8"/>
  <sheetViews>
    <sheetView showGridLines="0" workbookViewId="0">
      <selection activeCell="A1" sqref="A1"/>
    </sheetView>
  </sheetViews>
  <sheetFormatPr baseColWidth="8" defaultRowHeight="15"/>
  <cols>
    <col width="4" customWidth="1" min="1" max="1"/>
    <col width="26" customWidth="1" min="2" max="2"/>
    <col width="14" customWidth="1" min="3" max="3"/>
    <col width="14" customWidth="1" min="4" max="4"/>
    <col width="14" customWidth="1" min="5" max="5"/>
    <col width="14" customWidth="1" min="6" max="6"/>
    <col width="14" customWidth="1" min="7" max="7"/>
  </cols>
  <sheetData>
    <row r="1">
      <c r="A1" s="5" t="inlineStr">
        <is>
          <t>Class areas: Built-up area change</t>
        </is>
      </c>
    </row>
    <row r="2" ht="30" customHeight="1">
      <c r="A2" s="19" t="inlineStr"/>
      <c r="B2" s="20" t="inlineStr">
        <is>
          <t>Class</t>
        </is>
      </c>
      <c r="C2" s="21" t="inlineStr">
        <is>
          <t>Value</t>
        </is>
      </c>
      <c r="D2" s="21" t="inlineStr">
        <is>
          <t>Pixels</t>
        </is>
      </c>
      <c r="E2" s="21" t="inlineStr">
        <is>
          <t>Area (ha)</t>
        </is>
      </c>
      <c r="F2" s="21" t="inlineStr">
        <is>
          <t>Share of valid area</t>
        </is>
      </c>
      <c r="G2" s="21" t="inlineStr">
        <is>
          <t>Share of AOI</t>
        </is>
      </c>
    </row>
    <row r="3">
      <c r="A3" s="22" t="inlineStr"/>
      <c r="B3" s="23" t="inlineStr">
        <is>
          <t>Not built</t>
        </is>
      </c>
      <c r="C3" s="24" t="n">
        <v>0</v>
      </c>
      <c r="D3" s="24" t="n">
        <v>9173</v>
      </c>
      <c r="E3" s="25" t="n">
        <v>91.73000000000499</v>
      </c>
      <c r="F3" s="15">
        <f>IF(SUM($E$3:$E$6)=0,0,E3/SUM($E$3:$E$6))</f>
        <v/>
      </c>
      <c r="G3" s="26" t="n">
        <v>0.3269532363843919</v>
      </c>
    </row>
    <row r="4">
      <c r="A4" s="27" t="inlineStr"/>
      <c r="B4" s="23" t="inlineStr">
        <is>
          <t>Built in both years</t>
        </is>
      </c>
      <c r="C4" s="24" t="n">
        <v>1</v>
      </c>
      <c r="D4" s="24" t="n">
        <v>16089</v>
      </c>
      <c r="E4" s="25" t="n">
        <v>160.8900000000011</v>
      </c>
      <c r="F4" s="15">
        <f>IF(SUM($E$3:$E$6)=0,0,E4/SUM($E$3:$E$6))</f>
        <v/>
      </c>
      <c r="G4" s="26" t="n">
        <v>0.573460222412322</v>
      </c>
    </row>
    <row r="5">
      <c r="A5" s="28" t="inlineStr"/>
      <c r="B5" s="23" t="inlineStr">
        <is>
          <t>New built area</t>
        </is>
      </c>
      <c r="C5" s="24" t="n">
        <v>2</v>
      </c>
      <c r="D5" s="24" t="n">
        <v>1677</v>
      </c>
      <c r="E5" s="25" t="n">
        <v>16.76999999999982</v>
      </c>
      <c r="F5" s="15">
        <f>IF(SUM($E$3:$E$6)=0,0,E5/SUM($E$3:$E$6))</f>
        <v/>
      </c>
      <c r="G5" s="26" t="n">
        <v>0.05977331052181287</v>
      </c>
    </row>
    <row r="6">
      <c r="A6" s="29" t="inlineStr"/>
      <c r="B6" s="23" t="inlineStr">
        <is>
          <t>Built area lost</t>
        </is>
      </c>
      <c r="C6" s="24" t="n">
        <v>3</v>
      </c>
      <c r="D6" s="24" t="n">
        <v>1117</v>
      </c>
      <c r="E6" s="25" t="n">
        <v>11.16999999999992</v>
      </c>
      <c r="F6" s="15">
        <f>IF(SUM($E$3:$E$6)=0,0,E6/SUM($E$3:$E$6))</f>
        <v/>
      </c>
      <c r="G6" s="26" t="n">
        <v>0.03981323068149387</v>
      </c>
    </row>
    <row r="7">
      <c r="B7" s="30" t="inlineStr">
        <is>
          <t>Total</t>
        </is>
      </c>
      <c r="D7" s="31">
        <f>SUM(D3:D6)</f>
        <v/>
      </c>
      <c r="E7" s="32">
        <f>SUM(E3:E6)</f>
        <v/>
      </c>
      <c r="F7" s="33">
        <f>SUM(F3:F6)</f>
        <v/>
      </c>
    </row>
    <row r="8">
      <c r="A8" s="2" t="inlineStr">
        <is>
          <t>Valid area 280.6 ha of 280.6 ha (28,056 of 28,056 pixels). Areas are measured from the output raster.</t>
        </is>
      </c>
    </row>
  </sheetData>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C11"/>
  <sheetViews>
    <sheetView showGridLines="0" workbookViewId="0">
      <selection activeCell="A1" sqref="A1"/>
    </sheetView>
  </sheetViews>
  <sheetFormatPr baseColWidth="8" defaultRowHeight="15"/>
  <cols>
    <col width="34" customWidth="1" min="1" max="1"/>
    <col width="14" customWidth="1" min="2" max="2"/>
    <col width="26" customWidth="1" min="3" max="3"/>
  </cols>
  <sheetData>
    <row r="1">
      <c r="A1" s="5" t="inlineStr">
        <is>
          <t>Files</t>
        </is>
      </c>
    </row>
    <row r="2" ht="30" customHeight="1">
      <c r="A2" s="20" t="inlineStr">
        <is>
          <t>File</t>
        </is>
      </c>
      <c r="B2" s="20" t="inlineStr">
        <is>
          <t>Type</t>
        </is>
      </c>
      <c r="C2" s="20" t="inlineStr">
        <is>
          <t>Contents</t>
        </is>
      </c>
    </row>
    <row r="3">
      <c r="A3" s="23" t="inlineStr">
        <is>
          <t>piura_out/urban_expansion/built_area_change.tif</t>
        </is>
      </c>
      <c r="B3" s="23" t="inlineStr">
        <is>
          <t>GeoTIFF raster</t>
        </is>
      </c>
      <c r="C3" s="23" t="inlineStr">
        <is>
          <t>Built-up area change</t>
        </is>
      </c>
    </row>
    <row r="4">
      <c r="A4" s="23" t="inlineStr">
        <is>
          <t>piura_out/urban_expansion/deliverables/urban_expansion_report.pdf</t>
        </is>
      </c>
      <c r="B4" s="23" t="inlineStr">
        <is>
          <t>PDF report</t>
        </is>
      </c>
      <c r="C4" s="23" t="inlineStr">
        <is>
          <t>Complete analysis report</t>
        </is>
      </c>
    </row>
    <row r="5">
      <c r="A5" s="23" t="inlineStr">
        <is>
          <t>piura_out/urban_expansion/deliverables/urban_expansion_report.xlsx</t>
        </is>
      </c>
      <c r="B5" s="23" t="inlineStr">
        <is>
          <t>Excel workbook</t>
        </is>
      </c>
      <c r="C5" s="23" t="inlineStr">
        <is>
          <t>Complete analysis report</t>
        </is>
      </c>
    </row>
    <row r="6">
      <c r="A6" s="23" t="inlineStr">
        <is>
          <t>piura_out/urban_expansion/deliverables/urban_expansion_report.docx</t>
        </is>
      </c>
      <c r="B6" s="23" t="inlineStr">
        <is>
          <t>Word report</t>
        </is>
      </c>
      <c r="C6" s="23" t="inlineStr">
        <is>
          <t>Complete analysis report</t>
        </is>
      </c>
    </row>
    <row r="7">
      <c r="A7" s="23" t="inlineStr">
        <is>
          <t>piura_out/urban_expansion/deliverables/maps/urban_expansion_map.png</t>
        </is>
      </c>
      <c r="B7" s="23" t="inlineStr">
        <is>
          <t>PNG image</t>
        </is>
      </c>
      <c r="C7" s="23" t="inlineStr">
        <is>
          <t>Map or chart for slides and documents</t>
        </is>
      </c>
    </row>
    <row r="8">
      <c r="A8" s="23" t="inlineStr">
        <is>
          <t>piura_out/urban_expansion/deliverables/maps/urban_expansion_chart.png</t>
        </is>
      </c>
      <c r="B8" s="23" t="inlineStr">
        <is>
          <t>PNG image</t>
        </is>
      </c>
      <c r="C8" s="23" t="inlineStr">
        <is>
          <t>Map or chart for slides and documents</t>
        </is>
      </c>
    </row>
    <row r="9">
      <c r="A9" s="23" t="inlineStr">
        <is>
          <t>piura_out/urban_expansion/deliverables/vectors/urban_expansion.gpkg</t>
        </is>
      </c>
      <c r="B9" s="23" t="inlineStr">
        <is>
          <t>GeoPackage (all layers)</t>
        </is>
      </c>
      <c r="C9" s="23" t="inlineStr">
        <is>
          <t>Vector features with attributes</t>
        </is>
      </c>
    </row>
    <row r="10">
      <c r="A10" s="23" t="inlineStr">
        <is>
          <t>piura_out/urban_expansion/deliverables/vectors/geojson/urban_expansion_aoi.geojson</t>
        </is>
      </c>
      <c r="B10" s="23" t="inlineStr">
        <is>
          <t>GeoJSON, EPSG:4326</t>
        </is>
      </c>
      <c r="C10" s="23" t="inlineStr">
        <is>
          <t>Vector features with attributes</t>
        </is>
      </c>
    </row>
    <row r="11">
      <c r="A11" s="23" t="inlineStr">
        <is>
          <t>run_summary.json</t>
        </is>
      </c>
      <c r="B11" s="23" t="inlineStr">
        <is>
          <t>JSON</t>
        </is>
      </c>
      <c r="C11" s="23" t="inlineStr">
        <is>
          <t>Machine-readable record of this run</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15"/>
  <sheetViews>
    <sheetView showGridLines="0" workbookViewId="0">
      <selection activeCell="A1" sqref="A1"/>
    </sheetView>
  </sheetViews>
  <sheetFormatPr baseColWidth="8" defaultRowHeight="15"/>
  <cols>
    <col width="34" customWidth="1" min="1" max="1"/>
    <col width="40" customWidth="1" min="2" max="2"/>
    <col width="40" customWidth="1" min="3" max="3"/>
  </cols>
  <sheetData>
    <row r="1">
      <c r="A1" s="5" t="inlineStr">
        <is>
          <t>Method</t>
        </is>
      </c>
    </row>
    <row r="2" ht="16" customHeight="1">
      <c r="A2" s="6" t="inlineStr">
        <is>
          <t>How much built-up area appeared or disappeared between two years?</t>
        </is>
      </c>
    </row>
    <row r="3" ht="30" customHeight="1">
      <c r="A3" s="6" t="inlineStr">
        <is>
          <t>Built area is class 7 of the annual 10 m land-cover product (Impact Observatory / Esri, 2017-2023) on both dates.</t>
        </is>
      </c>
    </row>
    <row r="4" ht="30" customHeight="1">
      <c r="A4" s="6" t="inlineStr">
        <is>
          <t>A pixel is 'new built' when it is built in the second year only, 'lost' when built in the first year only. Gross gain and loss are reported separately because each year is classified on its own.</t>
        </is>
      </c>
    </row>
    <row r="5" ht="16" customHeight="1">
      <c r="A5" s="6" t="inlineStr">
        <is>
          <t>Pixels that are no-data or cloud in either year are nodata; percentages are over valid pixels.</t>
        </is>
      </c>
    </row>
    <row r="7">
      <c r="A7" s="5" t="inlineStr">
        <is>
          <t>Run parameters</t>
        </is>
      </c>
    </row>
    <row r="8">
      <c r="A8" s="7" t="inlineStr">
        <is>
          <t>Pipeline</t>
        </is>
      </c>
      <c r="B8" s="12" t="inlineStr">
        <is>
          <t>urban_expansion</t>
        </is>
      </c>
      <c r="C8" s="8" t="n"/>
    </row>
    <row r="9">
      <c r="A9" s="7" t="inlineStr">
        <is>
          <t>Area of interest</t>
        </is>
      </c>
      <c r="B9" s="12" t="inlineStr">
        <is>
          <t>-80.6250, -5.1800, -80.6100, -5.1650</t>
        </is>
      </c>
      <c r="C9" s="8" t="n"/>
    </row>
    <row r="10">
      <c r="A10" s="7" t="inlineStr">
        <is>
          <t>date_after</t>
        </is>
      </c>
      <c r="B10" s="12" t="inlineStr">
        <is>
          <t>2023</t>
        </is>
      </c>
      <c r="C10" s="8" t="n"/>
    </row>
    <row r="11">
      <c r="A11" s="7" t="inlineStr">
        <is>
          <t>date_before</t>
        </is>
      </c>
      <c r="B11" s="12" t="inlineStr">
        <is>
          <t>2020</t>
        </is>
      </c>
      <c r="C11" s="8" t="n"/>
    </row>
    <row r="12">
      <c r="A12" s="7" t="inlineStr">
        <is>
          <t>period</t>
        </is>
      </c>
      <c r="B12" s="12" t="inlineStr">
        <is>
          <t>2020 to 2023</t>
        </is>
      </c>
      <c r="C12" s="8" t="n"/>
    </row>
    <row r="14">
      <c r="A14" s="5" t="inlineStr">
        <is>
          <t>Notes on this run</t>
        </is>
      </c>
    </row>
    <row r="15" ht="30" customHeight="1">
      <c r="A15" s="6" t="inlineStr">
        <is>
          <t>vector layer 'built_change' could not be created: No module named 'scipy'</t>
        </is>
      </c>
    </row>
  </sheetData>
  <mergeCells count="10">
    <mergeCell ref="A15:C15"/>
    <mergeCell ref="A5:C5"/>
    <mergeCell ref="B11:C11"/>
    <mergeCell ref="B10:C10"/>
    <mergeCell ref="A3:C3"/>
    <mergeCell ref="B9:C9"/>
    <mergeCell ref="A4:C4"/>
    <mergeCell ref="B8:C8"/>
    <mergeCell ref="A2:C2"/>
    <mergeCell ref="B12:C1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A35"/>
  <sheetViews>
    <sheetView showGridLines="0" workbookViewId="0">
      <selection activeCell="A1" sqref="A1"/>
    </sheetView>
  </sheetViews>
  <sheetFormatPr baseColWidth="8" defaultRowHeight="15"/>
  <sheetData>
    <row r="1">
      <c r="A1" s="5" t="inlineStr">
        <is>
          <t>Map: Urban Expansion (annual 10 m land cover)</t>
        </is>
      </c>
    </row>
    <row r="35">
      <c r="A35" s="5" t="inlineStr">
        <is>
          <t>Summary chart</t>
        </is>
      </c>
    </row>
  </sheetData>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PyGeoVision</dc:creator>
  <dc:title xmlns:dc="http://purl.org/dc/elements/1.1/">Urban Expansion (annual 10 m land cover)</dc:title>
  <dcterms:created xmlns:dcterms="http://purl.org/dc/terms/" xmlns:xsi="http://www.w3.org/2001/XMLSchema-instance" xsi:type="dcterms:W3CDTF">2026-10-30T07:15:35Z</dcterms:created>
  <dcterms:modified xmlns:dcterms="http://purl.org/dc/terms/" xmlns:xsi="http://www.w3.org/2001/XMLSchema-instance" xsi:type="dcterms:W3CDTF">2026-10-30T07:15:35Z</dcterms:modified>
</cp:coreProperties>
</file>